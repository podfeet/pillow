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son/Desktop/pillow calcs/"/>
    </mc:Choice>
  </mc:AlternateContent>
  <xr:revisionPtr revIDLastSave="0" documentId="13_ncr:1_{2838080A-CDA2-994A-B11B-C64E676B6CA7}" xr6:coauthVersionLast="47" xr6:coauthVersionMax="47" xr10:uidLastSave="{00000000-0000-0000-0000-000000000000}"/>
  <bookViews>
    <workbookView xWindow="25540" yWindow="2760" windowWidth="28260" windowHeight="17440" xr2:uid="{C40DDE3C-C60A-EC46-8251-DD782016278E}"/>
  </bookViews>
  <sheets>
    <sheet name="Sheet1" sheetId="1" r:id="rId1"/>
  </sheets>
  <definedNames>
    <definedName name="FHSH">Sheet1!$E$5</definedName>
    <definedName name="FVSW">Sheet1!$E$6</definedName>
    <definedName name="Helper">Sheet1!$R$2</definedName>
    <definedName name="HSW">Sheet1!$E$14</definedName>
    <definedName name="minBorder">Sheet1!$H$2</definedName>
    <definedName name="minWindowBorder">Sheet1!$H$2</definedName>
    <definedName name="PatH">Sheet1!$B$6</definedName>
    <definedName name="PatM">Sheet1!$B$7</definedName>
    <definedName name="PatW">Sheet1!$B$5</definedName>
    <definedName name="PBH">Sheet1!$E$12</definedName>
    <definedName name="PBW">Sheet1!$E$11</definedName>
    <definedName name="PH">Sheet1!$B$3</definedName>
    <definedName name="PW">Sheet1!$B$2</definedName>
    <definedName name="PWB">Sheet1!$E$11</definedName>
    <definedName name="SA">Sheet1!$B$9</definedName>
    <definedName name="WH">Sheet1!$E$3</definedName>
    <definedName name="WW">Sheet1!$E$2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7" i="1" s="1"/>
  <c r="E11" i="1"/>
  <c r="E14" i="1" s="1"/>
  <c r="E3" i="1"/>
  <c r="E5" i="1" s="1"/>
  <c r="E15" i="1" s="1"/>
  <c r="E2" i="1"/>
  <c r="E6" i="1" s="1"/>
  <c r="E18" i="1" s="1"/>
  <c r="R3" i="1" l="1"/>
  <c r="R2" i="1"/>
</calcChain>
</file>

<file path=xl/sharedStrings.xml><?xml version="1.0" encoding="utf-8"?>
<sst xmlns="http://schemas.openxmlformats.org/spreadsheetml/2006/main" count="23" uniqueCount="23">
  <si>
    <t>Desired Pattern Margin</t>
  </si>
  <si>
    <t>Window Width</t>
  </si>
  <si>
    <t>Window Height</t>
  </si>
  <si>
    <t>Seam Allowance</t>
  </si>
  <si>
    <t>Unfinished Pillow Back Width</t>
  </si>
  <si>
    <t>Unfinished Pillow Back Height</t>
  </si>
  <si>
    <t>Unfinished Horizonal Strip Width</t>
  </si>
  <si>
    <t>Unfinished Vertical Strip Height</t>
  </si>
  <si>
    <t>Finished Horizontal Strip Height</t>
  </si>
  <si>
    <t>Finished Vertical Strip Width</t>
  </si>
  <si>
    <t>Unfinished Horizontal Strip Height</t>
  </si>
  <si>
    <t>Unfinished Vertical Strip Width</t>
  </si>
  <si>
    <t>Cut Fabric to These Dimensions (2 each)</t>
  </si>
  <si>
    <t>Cross Stitch Pattern Width</t>
  </si>
  <si>
    <t>Cross Stitch Pattern Height</t>
  </si>
  <si>
    <t>Calculated Values
Do Not Change</t>
  </si>
  <si>
    <t>Enter Values
for Your Project</t>
  </si>
  <si>
    <t>Pillow Form Width</t>
  </si>
  <si>
    <t>Pillow Form Height</t>
  </si>
  <si>
    <t>helper cell width</t>
  </si>
  <si>
    <t>helper cell height</t>
  </si>
  <si>
    <t>=IF((PW-WW) &lt; 2,FALSE,TRUE)</t>
  </si>
  <si>
    <t>=IF((PH-WH) &lt; 2,FALSE,TRUE)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</si>
</sst>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&quot;in&quot;"/>
  </numFmts>
  <fonts count="3">
    <font>
      <sz val="16"/>
      <color theme="1"/>
      <name val="Roboto-Regular"/>
      <family val="2"/>
    </font>
    <font>
      <b/>
      <sz val="16"/>
      <color rgb="FF3F3F3F"/>
      <name val="Roboto-Regular"/>
      <family val="2"/>
    </font>
    <font>
      <b/>
      <sz val="16"/>
      <color theme="1"/>
      <name val="Roboto-Regula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 vertic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0" fillId="3" borderId="0" xfId="0" applyNumberFormat="1" applyFill="1" applyAlignment="1">
      <alignment horizontal="center"/>
    </xf>
    <xf numFmtId="164" fontId="1" fillId="2" borderId="1" xfId="1" applyNumberForma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0" xfId="0" quotePrefix="1" applyAlignment="1" applyProtection="1">
      <alignment horizontal="center"/>
      <protection locked="0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BC6C-5574-124A-9FD3-E3CB22B950B0}">
  <dimension ref="A1:S19"/>
  <sheetViews>
    <sheetView tabSelected="1" zoomScale="85" workbookViewId="0">
      <selection activeCell="D24" activeCellId="1" sqref="F2 D24"/>
    </sheetView>
  </sheetViews>
  <sheetFormatPr baseColWidth="10" defaultRowHeight="21"/>
  <cols>
    <col min="1" max="1" width="24.5546875" style="1" customWidth="1"/>
    <col min="2" max="2" width="14.44140625" style="2" customWidth="1"/>
    <col min="3" max="3" width="10.77734375" style="3"/>
    <col min="4" max="4" width="27.88671875" style="4" bestFit="1" customWidth="1"/>
    <col min="5" max="5" width="17.21875" style="2" customWidth="1"/>
    <col min="6" max="6" width="13.6640625" style="3" bestFit="1" customWidth="1"/>
    <col min="7" max="7" width="14.33203125" style="3" bestFit="1" customWidth="1"/>
    <col min="8" max="16384" width="10.77734375" style="3"/>
  </cols>
  <sheetData>
    <row r="1" spans="1:19" ht="44">
      <c r="B1" s="6" t="s">
        <v>16</v>
      </c>
      <c r="E1" s="6" t="s">
        <v>15</v>
      </c>
    </row>
    <row r="2" spans="1:19">
      <c r="A2" s="1" t="s">
        <v>17</v>
      </c>
      <c r="B2" s="8">
        <v>16</v>
      </c>
      <c r="D2" s="4" t="s">
        <v>1</v>
      </c>
      <c r="E2" s="7">
        <f>PatW+2*PatM</f>
        <v>14</v>
      </c>
      <c r="F2" s="10"/>
      <c r="Q2" s="3" t="s">
        <v>19</v>
      </c>
      <c r="R2" s="3" t="b">
        <f>IF((PW-WW) &lt; 2,FALSE,TRUE)</f>
        <v>1</v>
      </c>
      <c r="S2" s="10" t="s">
        <v>21</v>
      </c>
    </row>
    <row r="3" spans="1:19">
      <c r="A3" s="1" t="s">
        <v>18</v>
      </c>
      <c r="B3" s="8">
        <v>16</v>
      </c>
      <c r="D3" s="4" t="s">
        <v>2</v>
      </c>
      <c r="E3" s="7">
        <f>PatH+2*PatM</f>
        <v>14</v>
      </c>
      <c r="Q3" s="3" t="s">
        <v>20</v>
      </c>
      <c r="R3" s="3" t="b">
        <f>IF((PH-WH) &lt; 2,FALSE,TRUE)</f>
        <v>1</v>
      </c>
      <c r="S3" s="10" t="s">
        <v>22</v>
      </c>
    </row>
    <row r="4" spans="1:19">
      <c r="B4" s="5"/>
    </row>
    <row r="5" spans="1:19">
      <c r="A5" s="1" t="s">
        <v>13</v>
      </c>
      <c r="B5" s="8">
        <v>12</v>
      </c>
      <c r="C5" s="10"/>
      <c r="D5" s="4" t="s">
        <v>8</v>
      </c>
      <c r="E5" s="7">
        <f>(PW-WH)/2</f>
        <v>1</v>
      </c>
    </row>
    <row r="6" spans="1:19">
      <c r="A6" s="1" t="s">
        <v>14</v>
      </c>
      <c r="B6" s="8">
        <v>12</v>
      </c>
      <c r="D6" s="4" t="s">
        <v>9</v>
      </c>
      <c r="E6" s="7">
        <f>(PW-WW)/2</f>
        <v>1</v>
      </c>
    </row>
    <row r="7" spans="1:19">
      <c r="A7" s="1" t="s">
        <v>0</v>
      </c>
      <c r="B7" s="8">
        <v>1</v>
      </c>
    </row>
    <row r="9" spans="1:19">
      <c r="A9" s="1" t="s">
        <v>3</v>
      </c>
      <c r="B9" s="8">
        <v>0.5</v>
      </c>
      <c r="D9" s="9" t="s">
        <v>12</v>
      </c>
      <c r="E9" s="9"/>
    </row>
    <row r="11" spans="1:19">
      <c r="D11" s="4" t="s">
        <v>4</v>
      </c>
      <c r="E11" s="7">
        <f>PW+2*SA</f>
        <v>17</v>
      </c>
    </row>
    <row r="12" spans="1:19">
      <c r="D12" s="4" t="s">
        <v>5</v>
      </c>
      <c r="E12" s="7">
        <f>PH+2*SA</f>
        <v>17</v>
      </c>
    </row>
    <row r="14" spans="1:19">
      <c r="D14" s="4" t="s">
        <v>6</v>
      </c>
      <c r="E14" s="7">
        <f>PBW</f>
        <v>17</v>
      </c>
    </row>
    <row r="15" spans="1:19">
      <c r="D15" s="4" t="s">
        <v>10</v>
      </c>
      <c r="E15" s="7">
        <f>FHSH+2*SA</f>
        <v>2</v>
      </c>
    </row>
    <row r="17" spans="2:5">
      <c r="D17" s="4" t="s">
        <v>7</v>
      </c>
      <c r="E17" s="7">
        <f>PBH</f>
        <v>17</v>
      </c>
    </row>
    <row r="18" spans="2:5">
      <c r="D18" s="4" t="s">
        <v>11</v>
      </c>
      <c r="E18" s="7">
        <f>FVSW+2*SA</f>
        <v>2</v>
      </c>
    </row>
    <row r="19" spans="2:5">
      <c r="B19" s="11"/>
    </row>
  </sheetData>
  <sheetProtection formatCells="0" formatColumns="0" formatRows="0" insertColumns="0" insertRows="0" insertHyperlinks="0" selectLockedCells="1"/>
  <mergeCells count="1">
    <mergeCell ref="D9:E9"/>
  </mergeCells>
  <dataValidations count="6">
    <dataValidation type="decimal" allowBlank="1" showInputMessage="1" showErrorMessage="1" errorTitle="Window is too large for pillow" error="This window size will not have at lease 1 inch around it for the given pillow size." sqref="E2" xr:uid="{FD78FE30-BF0C-3B49-9D11-E486522C5F75}">
      <formula1>B2-2</formula1>
      <formula2>1000</formula2>
    </dataValidation>
    <dataValidation type="custom" allowBlank="1" showInputMessage="1" showErrorMessage="1" errorTitle="Pillow height too small" error="Pillow isn't large enough for the calculated window size. You need at least 1 inch of fabric around the window. Either get a bigger pillow or modify the window height." sqref="B3" xr:uid="{2A0E07E2-5285-C94E-BA81-81C5071DBEC2}">
      <formula1>R3=TRUE</formula1>
    </dataValidation>
    <dataValidation type="custom" allowBlank="1" showInputMessage="1" showErrorMessage="1" errorTitle="Pillow width too small" error="Pillow isn't large enough for the calculated window size. You need at least 1 inch of fabric around the window. Either get a bigger pillow or modify the window height. " sqref="B2" xr:uid="{5B16C625-EBA9-6249-BA3B-3053BFA231A0}">
      <formula1>R2=TRUE</formula1>
    </dataValidation>
    <dataValidation type="custom" allowBlank="1" showInputMessage="1" showErrorMessage="1" errorTitle="Pillow width is too small" error="Pillow isn't large enough for the calculated window size. You need at least 1 inch of fabric around the window. Either get a bigger pillow or modify the window height." sqref="B5" xr:uid="{DAB23CA6-DEAF-AD49-9EE4-2A7CC21B8AD3}">
      <formula1>R2=TRUE</formula1>
    </dataValidation>
    <dataValidation type="custom" allowBlank="1" showInputMessage="1" showErrorMessage="1" errorTitle="Pillow height is too small" error="Pillow isn't large enough for the calculated window size. You need at least 1 inch of fabric around the window. Either get a bigger pillow or modify the window height." sqref="B6" xr:uid="{E70F8155-8BA1-D14A-A6A7-40D380D61294}">
      <formula1>R3=TRUE</formula1>
    </dataValidation>
    <dataValidation type="custom" allowBlank="1" showInputMessage="1" showErrorMessage="1" errorTitle="Pillow size is too small" error="The pattern margin you've entered along with the pattern dimensions won't fit in the size pillow you've entered. You need at least 1 inch of fabric around the window." sqref="B7" xr:uid="{1BA17525-5B32-BE4A-A13E-BD5EFFE0D392}">
      <formula1>AND(R3,H8)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FHSH</vt:lpstr>
      <vt:lpstr>FVSW</vt:lpstr>
      <vt:lpstr>Helper</vt:lpstr>
      <vt:lpstr>HSW</vt:lpstr>
      <vt:lpstr>minBorder</vt:lpstr>
      <vt:lpstr>minWindowBorder</vt:lpstr>
      <vt:lpstr>PatH</vt:lpstr>
      <vt:lpstr>PatM</vt:lpstr>
      <vt:lpstr>PatW</vt:lpstr>
      <vt:lpstr>PBH</vt:lpstr>
      <vt:lpstr>PBW</vt:lpstr>
      <vt:lpstr>PH</vt:lpstr>
      <vt:lpstr>PW</vt:lpstr>
      <vt:lpstr>PWB</vt:lpstr>
      <vt:lpstr>SA</vt:lpstr>
      <vt:lpstr>WH</vt:lpstr>
      <vt:lpstr>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Sheridan</dc:creator>
  <cp:lastModifiedBy>Allison Sheridan</cp:lastModifiedBy>
  <dcterms:created xsi:type="dcterms:W3CDTF">2024-10-12T19:53:02Z</dcterms:created>
  <dcterms:modified xsi:type="dcterms:W3CDTF">2024-10-15T01:26:02Z</dcterms:modified>
</cp:coreProperties>
</file>